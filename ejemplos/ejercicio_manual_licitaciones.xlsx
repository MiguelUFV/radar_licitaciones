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\Documents\proyecto claude code\ejemplos\"/>
    </mc:Choice>
  </mc:AlternateContent>
  <xr:revisionPtr revIDLastSave="0" documentId="13_ncr:1_{BF297FE7-8993-4D6D-9951-7863D98E8F3B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Instrucciones" sheetId="1" r:id="rId1"/>
    <sheet name="Perfil de la empresa" sheetId="2" r:id="rId2"/>
    <sheet name="Casos resueltos" sheetId="3" r:id="rId3"/>
    <sheet name="Registro" sheetId="4" r:id="rId4"/>
    <sheet name="Resu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B9" i="5"/>
  <c r="B8" i="5"/>
  <c r="B7" i="5"/>
  <c r="B5" i="5"/>
  <c r="B4" i="5"/>
  <c r="B6" i="5" l="1"/>
  <c r="B12" i="5" s="1"/>
</calcChain>
</file>

<file path=xl/sharedStrings.xml><?xml version="1.0" encoding="utf-8"?>
<sst xmlns="http://schemas.openxmlformats.org/spreadsheetml/2006/main" count="132" uniqueCount="128">
  <si>
    <t>Ejercicio: revisar licitaciones a mano</t>
  </si>
  <si>
    <t>Paso 1 del proyecto Radar de licitaciones. No hace falta instalar nada ni gastar un euro.</t>
  </si>
  <si>
    <t>Qué hay en este fichero</t>
  </si>
  <si>
    <t>- Perfil de la empresa: los datos con los que decides. Los mismos para todas las licitaciones.</t>
  </si>
  <si>
    <t>- Casos resueltos: tres licitaciones reales ya analizadas, con la página exacta donde estaba cada</t>
  </si>
  <si>
    <t xml:space="preserve">  requisito. Léelas primero: son el ejemplo de lo que tienes que hacer.</t>
  </si>
  <si>
    <t>- Registro: tres licitaciones reales, abiertas ahora, con su enlace puesto. Te toca a ti.</t>
  </si>
  <si>
    <t>- Resumen: se calcula solo cuando rellenes el registro.</t>
  </si>
  <si>
    <t>Qué tienes que hacer (unos 45 minutos)</t>
  </si>
  <si>
    <t>1. Lee la hoja Perfil de la empresa.</t>
  </si>
  <si>
    <t>2. Lee la hoja Casos resueltos entera. Verás el método y dónde mirar.</t>
  </si>
  <si>
    <t>3. En la hoja Registro hay tres licitaciones con su enlace. Para cada una:</t>
  </si>
  <si>
    <t xml:space="preserve">   a. Arranca el cronómetro del móvil.</t>
  </si>
  <si>
    <t xml:space="preserve">   b. Abre el enlace. Verás la ficha de la licitación en la Plataforma de Contratación.</t>
  </si>
  <si>
    <t xml:space="preserve">   c. Busca la sección de documentos y descarga el Pliego de cláusulas administrativas (PCAP).</t>
  </si>
  <si>
    <t xml:space="preserve">   d. Dentro del PDF busca (Ctrl+F) estas palabras, en este orden:</t>
  </si>
  <si>
    <t xml:space="preserve">      solvencia   /   volumen anual de negocios   /   anual acumulado   /   ISO   /   clasificación</t>
  </si>
  <si>
    <t xml:space="preserve">   e. Anota qué exige y en qué página lo has encontrado.</t>
  </si>
  <si>
    <t xml:space="preserve">   f. Compara con el perfil y decide: Sí puede presentarse, No puede, o Duda.</t>
  </si>
  <si>
    <t xml:space="preserve">   g. Para el cronómetro y rellena la fila.</t>
  </si>
  <si>
    <t>4. Cuando acabes las tres, mira la hoja Resumen y mándame el fichero.</t>
  </si>
  <si>
    <t>Reglas para que la medición sirva</t>
  </si>
  <si>
    <t>- Cronometra cada licitación por separado, desde que abres el enlace hasta que decides.</t>
  </si>
  <si>
    <t>- No mires quién ganó ni quién se presentó. Decides solo con el pliego y el perfil.</t>
  </si>
  <si>
    <t>- No uses ninguna IA para decidir: estamos midiendo el trabajo humano tal como es hoy.</t>
  </si>
  <si>
    <t>- Si no encuentras el dato o no lo tienes claro, marca Duda. Es un resultado válido y valioso:</t>
  </si>
  <si>
    <t xml:space="preserve">  son los casos que el radar tendrá que mandarte a revisar en lugar de decidir solo.</t>
  </si>
  <si>
    <t>Para qué sirve esto</t>
  </si>
  <si>
    <t>Los minutos por licitación son la medición del "antes" del proyecto (métrica M7). Solo se pueden</t>
  </si>
  <si>
    <t>medir ahora: en cuanto veas funcionando al agente, ya sabrás dónde mirar y el dato quedará</t>
  </si>
  <si>
    <t>contaminado. El porcentaje de casos en los que el dato decisivo no estaba en el anuncio es la</t>
  </si>
  <si>
    <t>tesis del proyecto, comprobada a mano y por ti.</t>
  </si>
  <si>
    <t>Leyenda: las celdas amarillas son las que rellenas tú. Las grises ya vienen puestas.</t>
  </si>
  <si>
    <t>Perfil de la empresa con el que decides</t>
  </si>
  <si>
    <t>DATOS DE EJEMPLO - perfil inventado solo para este ejercicio. Los perfiles reales se escriben en la Fase 3.</t>
  </si>
  <si>
    <t>Dato</t>
  </si>
  <si>
    <t>Valor</t>
  </si>
  <si>
    <t>Actividad</t>
  </si>
  <si>
    <t>Consultora de servicios informáticos</t>
  </si>
  <si>
    <t>Servicios que presta</t>
  </si>
  <si>
    <t>Soporte de puesto de trabajo, mantenimiento de aplicaciones y webs, desarrollo a medida, migraciones a la nube</t>
  </si>
  <si>
    <t>Tecnologías que domina</t>
  </si>
  <si>
    <t>PHP y WordPress, .NET, SQL Server, Azure</t>
  </si>
  <si>
    <t>Personas en plantilla</t>
  </si>
  <si>
    <t>Facturación del mejor de los 3 últimos ejercicios</t>
  </si>
  <si>
    <t>Trabajos similares ejecutados en su mejor año (CPV 72x)</t>
  </si>
  <si>
    <t>Certificación ISO 9001 (calidad)</t>
  </si>
  <si>
    <t>Sí</t>
  </si>
  <si>
    <t>Certificación ISO 14001 (medioambiente)</t>
  </si>
  <si>
    <t>No</t>
  </si>
  <si>
    <t>Certificación ISO 27001 (seguridad)</t>
  </si>
  <si>
    <t>Clasificación empresarial</t>
  </si>
  <si>
    <t>No tiene</t>
  </si>
  <si>
    <t>Seguro de responsabilidad civil</t>
  </si>
  <si>
    <t>300.000 € de cobertura</t>
  </si>
  <si>
    <t>Ámbito geográfico</t>
  </si>
  <si>
    <t>Toda España</t>
  </si>
  <si>
    <t>Usa este mismo perfil en todas. Si cambias de criterio a mitad, la medición no vale.</t>
  </si>
  <si>
    <t>Tres licitaciones reales ya analizadas (24-09-2026)</t>
  </si>
  <si>
    <t>Así se hace. Fíjate en la columna "dónde estaba": ese es el trabajo que el radar automatiza.</t>
  </si>
  <si>
    <t>Licitación</t>
  </si>
  <si>
    <t>Importe sin IVA</t>
  </si>
  <si>
    <t>Qué exige el pliego</t>
  </si>
  <si>
    <t>Dónde estaba</t>
  </si>
  <si>
    <t>Veredicto</t>
  </si>
  <si>
    <t>Por qué</t>
  </si>
  <si>
    <t>Autoridad Portuaria de Sevilla
Sistema de gestión de tráfico marítimo
Plazo: 28-09-2026</t>
  </si>
  <si>
    <t>1) Facturación anual mínima: 475.000 €
2) Trabajos similares por 475.000 € en el mejor de los 3 últimos años
3) Certificado ISO 14001 (o EMAS)</t>
  </si>
  <si>
    <t>PCAP de 69 páginas.
Facturación y trabajos: página 20.
ISO 14001: página 35, dentro de las obligaciones del contrato, no en el apartado de solvencia.</t>
  </si>
  <si>
    <t>NO PUEDE</t>
  </si>
  <si>
    <t>Falla las tres: factura 280.000 € (faltan 195.000), sus trabajos similares suman 95.000 € (faltan 380.000) y no tiene ISO 14001.</t>
  </si>
  <si>
    <t>Madrid Destino
Mantenimiento y evolutivos de sus webs
Plazo: 13-10-2026</t>
  </si>
  <si>
    <t>1) Cifra de negocios de 2023, 2024 y 2025: el pliego NO dice cuánto se exige, remite al anuncio de licitación
2) Trabajos similares con certificados de buena ejecución, sin importe mínimo escrito
3) Compromiso de aportar equipos, software, comunicaciones y copias de seguridad</t>
  </si>
  <si>
    <t>PCAP de 95 páginas.
La cláusula 14 (página 10) remite al apartado 11 del Anexo I, que está en la página 55. Y allí vuelve a remitir al anuncio.</t>
  </si>
  <si>
    <t>DUDA</t>
  </si>
  <si>
    <t>El dato que decide no está en el pliego: hay dos saltos y acaba fuera. Un humano llamaría o miraría el anuncio; el radar lo marcará para que lo revises tú, y nunca se inventará la cifra.</t>
  </si>
  <si>
    <t>Sareb
Mejora de las herramientas de valoración inmobiliaria
Plazo: 24-09-2026</t>
  </si>
  <si>
    <t>1) Facturación mínima: 1,5 veces la anualidad media (hay que calcularla, no viene el número)
2) Trabajos similares por el 70 % de la anualidad media
3) Experiencia concreta en SQL Server, ETLs con SSIS, Azure DevOps y arquitectura web
4) Perfiles con años mínimos de experiencia</t>
  </si>
  <si>
    <t>PCAP de 78 páginas.
Todo en las páginas 6 y 7.</t>
  </si>
  <si>
    <t>Por tamaño cumple de sobra (280.000 € frente a unos 116.400 € exigidos). Pero el requisito 3 no es una cifra: es si ha hecho proyectos con esas tecnologías. El perfil no lo dice, así que no se puede decidir sin preguntar.</t>
  </si>
  <si>
    <t>Resultado: de tres licitaciones, una decisión clara y dos que un sistema honesto tiene que mandar a revisión.</t>
  </si>
  <si>
    <t>En las tres, el dato decisivo estaba dentro del PDF, no en el anuncio.</t>
  </si>
  <si>
    <t>Tu turno: tres licitaciones reales con el plazo abierto</t>
  </si>
  <si>
    <t>Los datos grises ya están puestos. Rellena las celdas amarillas.</t>
  </si>
  <si>
    <t>Nº</t>
  </si>
  <si>
    <t>Órgano</t>
  </si>
  <si>
    <t>Objeto</t>
  </si>
  <si>
    <t>CPV</t>
  </si>
  <si>
    <t>Plazo</t>
  </si>
  <si>
    <t>Enlace a la ficha</t>
  </si>
  <si>
    <t>Minutos</t>
  </si>
  <si>
    <t>¿Puede presentarse?</t>
  </si>
  <si>
    <t>Requisito que decide</t>
  </si>
  <si>
    <t>Página del pliego</t>
  </si>
  <si>
    <t>¿El dato estaba en el anuncio?</t>
  </si>
  <si>
    <t>Notas</t>
  </si>
  <si>
    <t>Presidencia del Circuito de Jerez, S.A.</t>
  </si>
  <si>
    <t>Servicio de plataforma de venta de entradas y sistema de control de acceso de Circuito de Jerez S.A</t>
  </si>
  <si>
    <t>72212481</t>
  </si>
  <si>
    <t>2026-10-13</t>
  </si>
  <si>
    <t>https://contrataciondelestado.es/wps/poc?uri=deeplink:detalle_licitacion&amp;idEvl=ZqoH0VrY2AE%2Bk2oCbDosIw%3D%3D</t>
  </si>
  <si>
    <t>Consejo de Administración de Desarrollo Urbanístico de El Ejido, S.L.</t>
  </si>
  <si>
    <t>Servicio de nueva herramienta para la gestión comercial de órdenes de trabajo y de almacen de abastecimiento y saneamiento de Desa</t>
  </si>
  <si>
    <t>72210000</t>
  </si>
  <si>
    <t>2026-10-15</t>
  </si>
  <si>
    <t>https://contrataciondelestado.es/wps/poc?uri=deeplink:detalle_licitacion&amp;idEvl=KxTCCvaAQnVt5r0ngvMetA%3D%3D</t>
  </si>
  <si>
    <t>Presidencia de la Autoridad Portuaria de A Coruña</t>
  </si>
  <si>
    <t>Servicio de migración a business Central, El Soporte, mantenimiento y licencias de Microsoft Dynamics Navision para la Autoridad P</t>
  </si>
  <si>
    <t>72212000</t>
  </si>
  <si>
    <t>2026-10-08</t>
  </si>
  <si>
    <t>https://contrataciondelestado.es/wps/poc?uri=deeplink:detalle_licitacion&amp;idEvl=hT9gR3KhSs6OUi78BmzhOQ%3D%3D</t>
  </si>
  <si>
    <t>Si el enlace no abre la licitación, busca el objeto en contrataciondelestado.es (Licitaciones &gt; Búsqueda) y anótalo en Notas.</t>
  </si>
  <si>
    <t>Resumen</t>
  </si>
  <si>
    <t>Se calcula con las filas que rellenes en la hoja Registro.</t>
  </si>
  <si>
    <t>Medida</t>
  </si>
  <si>
    <t>Licitaciones revisadas</t>
  </si>
  <si>
    <t>Minutos totales</t>
  </si>
  <si>
    <t>Minutos por licitación</t>
  </si>
  <si>
    <t>Puede presentarse</t>
  </si>
  <si>
    <t>No puede</t>
  </si>
  <si>
    <t>Dudas</t>
  </si>
  <si>
    <t>Casos en los que el dato decisivo NO estaba en el anuncio</t>
  </si>
  <si>
    <t>Porcentaje sobre las revisadas</t>
  </si>
  <si>
    <t>Minutos al día si revisaras 40 licitaciones</t>
  </si>
  <si>
    <t>Qué miramos juntos cuando lo acabes</t>
  </si>
  <si>
    <t>- Minutos por licitación: el "antes" de la métrica M7.</t>
  </si>
  <si>
    <t>- Porcentaje en el que el dato decisivo no estaba en el anuncio: la tesis del proyecto, medida por ti.</t>
  </si>
  <si>
    <t>- Dudas: definen qué casos el radar mandará a revisión en vez de decidir solo.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</si>
</sst>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595959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6" fillId="0" borderId="0" xfId="0" applyFont="1"/>
    <xf numFmtId="0" fontId="8" fillId="3" borderId="1" xfId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rataciondelestado.es/wps/poc?uri=deeplink:detalle_licitacion&amp;idEvl=ZqoH0VrY2AE%2Bk2oCbDosI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showGridLines="0" topLeftCell="A10" workbookViewId="0">
      <selection activeCell="A20" sqref="A20"/>
    </sheetView>
  </sheetViews>
  <sheetFormatPr baseColWidth="10" defaultColWidth="9.06640625" defaultRowHeight="14.25" x14ac:dyDescent="0.45"/>
  <cols>
    <col min="1" max="1" width="108" customWidth="1"/>
  </cols>
  <sheetData>
    <row r="1" spans="1:1" ht="17.649999999999999" x14ac:dyDescent="0.5">
      <c r="A1" s="1" t="s">
        <v>0</v>
      </c>
    </row>
    <row r="2" spans="1:1" x14ac:dyDescent="0.45">
      <c r="A2" s="2" t="s">
        <v>1</v>
      </c>
    </row>
    <row r="3" spans="1:1" x14ac:dyDescent="0.45">
      <c r="A3" s="3"/>
    </row>
    <row r="4" spans="1:1" ht="15.4" x14ac:dyDescent="0.45">
      <c r="A4" s="4" t="s">
        <v>2</v>
      </c>
    </row>
    <row r="5" spans="1:1" x14ac:dyDescent="0.45">
      <c r="A5" s="3" t="s">
        <v>3</v>
      </c>
    </row>
    <row r="6" spans="1:1" x14ac:dyDescent="0.45">
      <c r="A6" s="3" t="s">
        <v>4</v>
      </c>
    </row>
    <row r="7" spans="1:1" x14ac:dyDescent="0.45">
      <c r="A7" s="3" t="s">
        <v>5</v>
      </c>
    </row>
    <row r="8" spans="1:1" x14ac:dyDescent="0.45">
      <c r="A8" s="3" t="s">
        <v>6</v>
      </c>
    </row>
    <row r="9" spans="1:1" x14ac:dyDescent="0.45">
      <c r="A9" s="3" t="s">
        <v>7</v>
      </c>
    </row>
    <row r="10" spans="1:1" x14ac:dyDescent="0.45">
      <c r="A10" s="3"/>
    </row>
    <row r="11" spans="1:1" ht="15.4" x14ac:dyDescent="0.45">
      <c r="A11" s="4" t="s">
        <v>8</v>
      </c>
    </row>
    <row r="12" spans="1:1" x14ac:dyDescent="0.45">
      <c r="A12" s="3" t="s">
        <v>9</v>
      </c>
    </row>
    <row r="13" spans="1:1" x14ac:dyDescent="0.45">
      <c r="A13" s="3" t="s">
        <v>10</v>
      </c>
    </row>
    <row r="14" spans="1:1" x14ac:dyDescent="0.45">
      <c r="A14" s="3" t="s">
        <v>11</v>
      </c>
    </row>
    <row r="15" spans="1:1" x14ac:dyDescent="0.45">
      <c r="A15" s="3" t="s">
        <v>12</v>
      </c>
    </row>
    <row r="16" spans="1:1" x14ac:dyDescent="0.45">
      <c r="A16" s="3" t="s">
        <v>13</v>
      </c>
    </row>
    <row r="17" spans="1:1" x14ac:dyDescent="0.45">
      <c r="A17" s="3" t="s">
        <v>14</v>
      </c>
    </row>
    <row r="18" spans="1:1" x14ac:dyDescent="0.45">
      <c r="A18" s="3" t="s">
        <v>15</v>
      </c>
    </row>
    <row r="19" spans="1:1" x14ac:dyDescent="0.45">
      <c r="A19" s="3" t="s">
        <v>16</v>
      </c>
    </row>
    <row r="20" spans="1:1" x14ac:dyDescent="0.45">
      <c r="A20" s="3" t="s">
        <v>17</v>
      </c>
    </row>
    <row r="21" spans="1:1" x14ac:dyDescent="0.45">
      <c r="A21" s="3" t="s">
        <v>18</v>
      </c>
    </row>
    <row r="22" spans="1:1" x14ac:dyDescent="0.45">
      <c r="A22" s="3" t="s">
        <v>19</v>
      </c>
    </row>
    <row r="23" spans="1:1" x14ac:dyDescent="0.45">
      <c r="A23" s="3" t="s">
        <v>20</v>
      </c>
    </row>
    <row r="24" spans="1:1" x14ac:dyDescent="0.45">
      <c r="A24" s="3"/>
    </row>
    <row r="25" spans="1:1" ht="15.4" x14ac:dyDescent="0.45">
      <c r="A25" s="4" t="s">
        <v>21</v>
      </c>
    </row>
    <row r="26" spans="1:1" x14ac:dyDescent="0.45">
      <c r="A26" s="3" t="s">
        <v>22</v>
      </c>
    </row>
    <row r="27" spans="1:1" x14ac:dyDescent="0.45">
      <c r="A27" s="3" t="s">
        <v>23</v>
      </c>
    </row>
    <row r="28" spans="1:1" x14ac:dyDescent="0.45">
      <c r="A28" s="3" t="s">
        <v>24</v>
      </c>
    </row>
    <row r="29" spans="1:1" x14ac:dyDescent="0.45">
      <c r="A29" s="3" t="s">
        <v>25</v>
      </c>
    </row>
    <row r="30" spans="1:1" x14ac:dyDescent="0.45">
      <c r="A30" s="3" t="s">
        <v>26</v>
      </c>
    </row>
    <row r="31" spans="1:1" x14ac:dyDescent="0.45">
      <c r="A31" s="3"/>
    </row>
    <row r="32" spans="1:1" ht="15.4" x14ac:dyDescent="0.45">
      <c r="A32" s="4" t="s">
        <v>27</v>
      </c>
    </row>
    <row r="33" spans="1:1" x14ac:dyDescent="0.45">
      <c r="A33" s="3" t="s">
        <v>28</v>
      </c>
    </row>
    <row r="34" spans="1:1" x14ac:dyDescent="0.45">
      <c r="A34" s="3" t="s">
        <v>29</v>
      </c>
    </row>
    <row r="35" spans="1:1" x14ac:dyDescent="0.45">
      <c r="A35" s="3" t="s">
        <v>30</v>
      </c>
    </row>
    <row r="36" spans="1:1" x14ac:dyDescent="0.45">
      <c r="A36" s="3" t="s">
        <v>31</v>
      </c>
    </row>
    <row r="37" spans="1:1" x14ac:dyDescent="0.45">
      <c r="A37" s="3"/>
    </row>
    <row r="38" spans="1:1" x14ac:dyDescent="0.45">
      <c r="A38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workbookViewId="0">
      <selection activeCell="B21" sqref="B21"/>
    </sheetView>
  </sheetViews>
  <sheetFormatPr baseColWidth="10" defaultColWidth="9.06640625" defaultRowHeight="14.25" x14ac:dyDescent="0.45"/>
  <cols>
    <col min="1" max="1" width="50" customWidth="1"/>
    <col min="2" max="2" width="66" customWidth="1"/>
  </cols>
  <sheetData>
    <row r="1" spans="1:2" ht="17.649999999999999" x14ac:dyDescent="0.5">
      <c r="A1" s="1" t="s">
        <v>33</v>
      </c>
    </row>
    <row r="2" spans="1:2" x14ac:dyDescent="0.45">
      <c r="A2" s="2" t="s">
        <v>34</v>
      </c>
    </row>
    <row r="4" spans="1:2" x14ac:dyDescent="0.45">
      <c r="A4" s="5" t="s">
        <v>35</v>
      </c>
      <c r="B4" s="5" t="s">
        <v>36</v>
      </c>
    </row>
    <row r="5" spans="1:2" x14ac:dyDescent="0.45">
      <c r="A5" s="6" t="s">
        <v>37</v>
      </c>
      <c r="B5" s="7" t="s">
        <v>38</v>
      </c>
    </row>
    <row r="6" spans="1:2" ht="27" x14ac:dyDescent="0.45">
      <c r="A6" s="6" t="s">
        <v>39</v>
      </c>
      <c r="B6" s="7" t="s">
        <v>40</v>
      </c>
    </row>
    <row r="7" spans="1:2" x14ac:dyDescent="0.45">
      <c r="A7" s="6" t="s">
        <v>41</v>
      </c>
      <c r="B7" s="7" t="s">
        <v>42</v>
      </c>
    </row>
    <row r="8" spans="1:2" x14ac:dyDescent="0.45">
      <c r="A8" s="6" t="s">
        <v>43</v>
      </c>
      <c r="B8" s="7">
        <v>6</v>
      </c>
    </row>
    <row r="9" spans="1:2" x14ac:dyDescent="0.45">
      <c r="A9" s="6" t="s">
        <v>44</v>
      </c>
      <c r="B9" s="8">
        <v>280000</v>
      </c>
    </row>
    <row r="10" spans="1:2" x14ac:dyDescent="0.45">
      <c r="A10" s="6" t="s">
        <v>45</v>
      </c>
      <c r="B10" s="8">
        <v>95000</v>
      </c>
    </row>
    <row r="11" spans="1:2" x14ac:dyDescent="0.45">
      <c r="A11" s="6" t="s">
        <v>46</v>
      </c>
      <c r="B11" s="7" t="s">
        <v>47</v>
      </c>
    </row>
    <row r="12" spans="1:2" x14ac:dyDescent="0.45">
      <c r="A12" s="6" t="s">
        <v>48</v>
      </c>
      <c r="B12" s="7" t="s">
        <v>49</v>
      </c>
    </row>
    <row r="13" spans="1:2" x14ac:dyDescent="0.45">
      <c r="A13" s="6" t="s">
        <v>50</v>
      </c>
      <c r="B13" s="7" t="s">
        <v>49</v>
      </c>
    </row>
    <row r="14" spans="1:2" x14ac:dyDescent="0.45">
      <c r="A14" s="6" t="s">
        <v>51</v>
      </c>
      <c r="B14" s="7" t="s">
        <v>52</v>
      </c>
    </row>
    <row r="15" spans="1:2" x14ac:dyDescent="0.45">
      <c r="A15" s="6" t="s">
        <v>53</v>
      </c>
      <c r="B15" s="7" t="s">
        <v>54</v>
      </c>
    </row>
    <row r="16" spans="1:2" x14ac:dyDescent="0.45">
      <c r="A16" s="6" t="s">
        <v>55</v>
      </c>
      <c r="B16" s="7" t="s">
        <v>56</v>
      </c>
    </row>
    <row r="18" spans="1:1" x14ac:dyDescent="0.45">
      <c r="A18" s="2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/>
  </sheetViews>
  <sheetFormatPr baseColWidth="10" defaultColWidth="9.06640625" defaultRowHeight="14.25" x14ac:dyDescent="0.45"/>
  <cols>
    <col min="1" max="1" width="34" customWidth="1"/>
    <col min="2" max="2" width="14" customWidth="1"/>
    <col min="3" max="3" width="52" customWidth="1"/>
    <col min="4" max="4" width="26" customWidth="1"/>
    <col min="5" max="5" width="12" customWidth="1"/>
    <col min="6" max="6" width="44" customWidth="1"/>
  </cols>
  <sheetData>
    <row r="1" spans="1:6" ht="17.649999999999999" x14ac:dyDescent="0.5">
      <c r="A1" s="1" t="s">
        <v>58</v>
      </c>
    </row>
    <row r="2" spans="1:6" x14ac:dyDescent="0.45">
      <c r="A2" s="2" t="s">
        <v>59</v>
      </c>
    </row>
    <row r="4" spans="1:6" ht="27.75" x14ac:dyDescent="0.45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 spans="1:6" ht="118.05" customHeight="1" x14ac:dyDescent="0.45">
      <c r="A5" s="10" t="s">
        <v>66</v>
      </c>
      <c r="B5" s="11">
        <v>475000</v>
      </c>
      <c r="C5" s="10" t="s">
        <v>67</v>
      </c>
      <c r="D5" s="10" t="s">
        <v>68</v>
      </c>
      <c r="E5" s="12" t="s">
        <v>69</v>
      </c>
      <c r="F5" s="10" t="s">
        <v>70</v>
      </c>
    </row>
    <row r="6" spans="1:6" ht="118.05" customHeight="1" x14ac:dyDescent="0.45">
      <c r="A6" s="10" t="s">
        <v>71</v>
      </c>
      <c r="B6" s="11">
        <v>131000</v>
      </c>
      <c r="C6" s="10" t="s">
        <v>72</v>
      </c>
      <c r="D6" s="10" t="s">
        <v>73</v>
      </c>
      <c r="E6" s="12" t="s">
        <v>74</v>
      </c>
      <c r="F6" s="10" t="s">
        <v>75</v>
      </c>
    </row>
    <row r="7" spans="1:6" ht="118.05" customHeight="1" x14ac:dyDescent="0.45">
      <c r="A7" s="10" t="s">
        <v>76</v>
      </c>
      <c r="B7" s="11">
        <v>77600</v>
      </c>
      <c r="C7" s="10" t="s">
        <v>77</v>
      </c>
      <c r="D7" s="10" t="s">
        <v>78</v>
      </c>
      <c r="E7" s="12" t="s">
        <v>74</v>
      </c>
      <c r="F7" s="10" t="s">
        <v>79</v>
      </c>
    </row>
    <row r="9" spans="1:6" x14ac:dyDescent="0.45">
      <c r="A9" s="2" t="s">
        <v>80</v>
      </c>
    </row>
    <row r="10" spans="1:6" x14ac:dyDescent="0.45">
      <c r="A10" s="2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showGridLines="0" tabSelected="1" workbookViewId="0">
      <pane ySplit="4" topLeftCell="A5" activePane="bottomLeft" state="frozen"/>
      <selection pane="bottomLeft" activeCell="E13" sqref="E13"/>
    </sheetView>
  </sheetViews>
  <sheetFormatPr baseColWidth="10" defaultColWidth="9.06640625" defaultRowHeight="14.25" x14ac:dyDescent="0.45"/>
  <cols>
    <col min="1" max="1" width="5" customWidth="1"/>
    <col min="2" max="2" width="30" customWidth="1"/>
    <col min="3" max="3" width="40" customWidth="1"/>
    <col min="4" max="4" width="14" customWidth="1"/>
    <col min="5" max="5" width="10" customWidth="1"/>
    <col min="6" max="6" width="12" customWidth="1"/>
    <col min="7" max="7" width="30" customWidth="1"/>
    <col min="8" max="8" width="9" customWidth="1"/>
    <col min="9" max="9" width="13" customWidth="1"/>
    <col min="10" max="10" width="32" customWidth="1"/>
    <col min="11" max="11" width="11" customWidth="1"/>
    <col min="12" max="12" width="14" customWidth="1"/>
    <col min="13" max="13" width="30" customWidth="1"/>
  </cols>
  <sheetData>
    <row r="1" spans="1:13" ht="17.649999999999999" x14ac:dyDescent="0.5">
      <c r="A1" s="1" t="s">
        <v>82</v>
      </c>
    </row>
    <row r="2" spans="1:13" x14ac:dyDescent="0.45">
      <c r="A2" s="2" t="s">
        <v>83</v>
      </c>
    </row>
    <row r="4" spans="1:13" ht="34.049999999999997" customHeight="1" x14ac:dyDescent="0.45">
      <c r="A4" s="9" t="s">
        <v>84</v>
      </c>
      <c r="B4" s="9" t="s">
        <v>85</v>
      </c>
      <c r="C4" s="9" t="s">
        <v>86</v>
      </c>
      <c r="D4" s="9" t="s">
        <v>61</v>
      </c>
      <c r="E4" s="9" t="s">
        <v>87</v>
      </c>
      <c r="F4" s="9" t="s">
        <v>88</v>
      </c>
      <c r="G4" s="9" t="s">
        <v>89</v>
      </c>
      <c r="H4" s="9" t="s">
        <v>90</v>
      </c>
      <c r="I4" s="9" t="s">
        <v>91</v>
      </c>
      <c r="J4" s="9" t="s">
        <v>92</v>
      </c>
      <c r="K4" s="9" t="s">
        <v>93</v>
      </c>
      <c r="L4" s="9" t="s">
        <v>94</v>
      </c>
      <c r="M4" s="9" t="s">
        <v>95</v>
      </c>
    </row>
    <row r="5" spans="1:13" ht="46.05" customHeight="1" x14ac:dyDescent="0.45">
      <c r="A5" s="6">
        <v>1</v>
      </c>
      <c r="B5" s="10" t="s">
        <v>96</v>
      </c>
      <c r="C5" s="10" t="s">
        <v>97</v>
      </c>
      <c r="D5" s="11">
        <v>354000</v>
      </c>
      <c r="E5" s="10" t="s">
        <v>98</v>
      </c>
      <c r="F5" s="10" t="s">
        <v>99</v>
      </c>
      <c r="G5" s="18" t="s">
        <v>100</v>
      </c>
      <c r="H5" s="13"/>
      <c r="I5" s="13"/>
      <c r="J5" s="13"/>
      <c r="K5" s="13"/>
      <c r="L5" s="13"/>
      <c r="M5" s="13"/>
    </row>
    <row r="6" spans="1:13" ht="46.05" customHeight="1" x14ac:dyDescent="0.45">
      <c r="A6" s="6">
        <v>2</v>
      </c>
      <c r="B6" s="10" t="s">
        <v>101</v>
      </c>
      <c r="C6" s="10" t="s">
        <v>102</v>
      </c>
      <c r="D6" s="11">
        <v>953500</v>
      </c>
      <c r="E6" s="10" t="s">
        <v>103</v>
      </c>
      <c r="F6" s="10" t="s">
        <v>104</v>
      </c>
      <c r="G6" s="10" t="s">
        <v>105</v>
      </c>
      <c r="H6" s="13"/>
      <c r="I6" s="13"/>
      <c r="J6" s="13"/>
      <c r="K6" s="13"/>
      <c r="L6" s="13"/>
      <c r="M6" s="13"/>
    </row>
    <row r="7" spans="1:13" ht="46.05" customHeight="1" x14ac:dyDescent="0.45">
      <c r="A7" s="6">
        <v>3</v>
      </c>
      <c r="B7" s="10" t="s">
        <v>106</v>
      </c>
      <c r="C7" s="10" t="s">
        <v>107</v>
      </c>
      <c r="D7" s="11">
        <v>475000</v>
      </c>
      <c r="E7" s="10" t="s">
        <v>108</v>
      </c>
      <c r="F7" s="10" t="s">
        <v>109</v>
      </c>
      <c r="G7" s="10" t="s">
        <v>110</v>
      </c>
      <c r="H7" s="13"/>
      <c r="I7" s="13"/>
      <c r="J7" s="13"/>
      <c r="K7" s="13"/>
      <c r="L7" s="13"/>
      <c r="M7" s="13"/>
    </row>
    <row r="9" spans="1:13" x14ac:dyDescent="0.45">
      <c r="A9" s="2" t="s">
        <v>111</v>
      </c>
    </row>
  </sheetData>
  <dataValidations count="2">
    <dataValidation type="list" allowBlank="1" sqref="I5:I7" xr:uid="{00000000-0002-0000-0300-000000000000}">
      <formula1>"Sí,No,Duda"</formula1>
    </dataValidation>
    <dataValidation type="list" allowBlank="1" sqref="L5:L7" xr:uid="{00000000-0002-0000-0300-000001000000}">
      <formula1>"Sí,No"</formula1>
    </dataValidation>
  </dataValidations>
  <hyperlinks>
    <hyperlink ref="G5" r:id="rId1" xr:uid="{190B9DA6-B949-4F8A-9FB2-87FB1FF6C5C2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showGridLines="0" workbookViewId="0"/>
  </sheetViews>
  <sheetFormatPr baseColWidth="10" defaultColWidth="9.06640625" defaultRowHeight="14.25" x14ac:dyDescent="0.45"/>
  <cols>
    <col min="1" max="1" width="60" customWidth="1"/>
    <col min="2" max="2" width="16" customWidth="1"/>
  </cols>
  <sheetData>
    <row r="1" spans="1:2" ht="17.649999999999999" x14ac:dyDescent="0.5">
      <c r="A1" s="1" t="s">
        <v>112</v>
      </c>
    </row>
    <row r="2" spans="1:2" x14ac:dyDescent="0.45">
      <c r="A2" s="2" t="s">
        <v>113</v>
      </c>
    </row>
    <row r="3" spans="1:2" x14ac:dyDescent="0.45">
      <c r="A3" s="5" t="s">
        <v>114</v>
      </c>
      <c r="B3" s="5" t="s">
        <v>36</v>
      </c>
    </row>
    <row r="4" spans="1:2" x14ac:dyDescent="0.45">
      <c r="A4" s="6" t="s">
        <v>115</v>
      </c>
      <c r="B4" s="14">
        <f>COUNT(Registro!H5:H7)</f>
        <v>0</v>
      </c>
    </row>
    <row r="5" spans="1:2" x14ac:dyDescent="0.45">
      <c r="A5" s="6" t="s">
        <v>116</v>
      </c>
      <c r="B5" s="14">
        <f>SUM(Registro!H5:H7)</f>
        <v>0</v>
      </c>
    </row>
    <row r="6" spans="1:2" x14ac:dyDescent="0.45">
      <c r="A6" s="6" t="s">
        <v>117</v>
      </c>
      <c r="B6" s="15" t="str">
        <f>IFERROR(B5/B4,"")</f>
        <v/>
      </c>
    </row>
    <row r="7" spans="1:2" x14ac:dyDescent="0.45">
      <c r="A7" s="6" t="s">
        <v>118</v>
      </c>
      <c r="B7" s="14">
        <f>COUNTIF(Registro!I5:I7,"Sí")</f>
        <v>0</v>
      </c>
    </row>
    <row r="8" spans="1:2" x14ac:dyDescent="0.45">
      <c r="A8" s="6" t="s">
        <v>119</v>
      </c>
      <c r="B8" s="14">
        <f>COUNTIF(Registro!I5:I7,"No")</f>
        <v>0</v>
      </c>
    </row>
    <row r="9" spans="1:2" x14ac:dyDescent="0.45">
      <c r="A9" s="6" t="s">
        <v>120</v>
      </c>
      <c r="B9" s="14">
        <f>COUNTIF(Registro!I5:I7,"Duda")</f>
        <v>0</v>
      </c>
    </row>
    <row r="10" spans="1:2" x14ac:dyDescent="0.45">
      <c r="A10" s="6" t="s">
        <v>121</v>
      </c>
      <c r="B10" s="14">
        <f>COUNTIF(Registro!L5:L7,"No")</f>
        <v>0</v>
      </c>
    </row>
    <row r="11" spans="1:2" x14ac:dyDescent="0.45">
      <c r="A11" s="6" t="s">
        <v>122</v>
      </c>
      <c r="B11" s="16" t="str">
        <f>IFERROR(B10/COUNTA(Registro!L5:L7),"")</f>
        <v/>
      </c>
    </row>
    <row r="12" spans="1:2" x14ac:dyDescent="0.45">
      <c r="A12" s="6" t="s">
        <v>123</v>
      </c>
      <c r="B12" s="14" t="str">
        <f>IFERROR(B6*40,"")</f>
        <v/>
      </c>
    </row>
    <row r="14" spans="1:2" ht="15.4" x14ac:dyDescent="0.45">
      <c r="A14" s="4" t="s">
        <v>124</v>
      </c>
    </row>
    <row r="15" spans="1:2" x14ac:dyDescent="0.45">
      <c r="A15" s="17" t="s">
        <v>125</v>
      </c>
    </row>
    <row r="16" spans="1:2" x14ac:dyDescent="0.45">
      <c r="A16" s="17" t="s">
        <v>126</v>
      </c>
    </row>
    <row r="17" spans="1:1" x14ac:dyDescent="0.45">
      <c r="A17" s="1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Perfil de la empresa</vt:lpstr>
      <vt:lpstr>Casos resueltos</vt:lpstr>
      <vt:lpstr>Registro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Martín-Caro Martín</cp:lastModifiedBy>
  <dcterms:created xsi:type="dcterms:W3CDTF">2026-09-24T13:19:55Z</dcterms:created>
  <dcterms:modified xsi:type="dcterms:W3CDTF">2026-09-24T14:10:48Z</dcterms:modified>
</cp:coreProperties>
</file>